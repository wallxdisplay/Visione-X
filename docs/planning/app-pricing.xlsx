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Rates" state="visible" r:id="rId5"/>
    <sheet sheetId="3" name="Usage" state="visible" r:id="rId6"/>
    <sheet sheetId="4" name="App prices" state="visible" r:id="rId7"/>
    <sheet sheetId="5" name="Example bill" state="visible" r:id="rId8"/>
  </sheets>
  <definedNames>
    <definedName name="USD_INR">Rates!$B$2</definedName>
    <definedName name="FS_READ">Rates!$B$3</definedName>
    <definedName name="FS_WRITE">Rates!$B$4</definedName>
    <definedName name="FS_STORE">Rates!$B$5</definedName>
    <definedName name="FN_REQ">Rates!$B$6</definedName>
    <definedName name="FN_CPU">Rates!$B$7</definedName>
    <definedName name="FN_MEM">Rates!$B$8</definedName>
    <definedName name="FN_SEC">Rates!$B$9</definedName>
    <definedName name="FN_VCPU">Rates!$B$10</definedName>
    <definedName name="FN_GIB">Rates!$B$11</definedName>
    <definedName name="GCS_STORE">Rates!$B$12</definedName>
    <definedName name="EGRESS">Rates!$B$13</definedName>
    <definedName name="WEATHER">Rates!$B$14</definedName>
    <definedName name="AQI">Rates!$B$15</definedName>
    <definedName name="TARGET_MARGIN">Rates!$B$16</definedName>
    <definedName name="DEALER_DISC">Rates!$B$17</definedName>
    <definedName name="SUPPORT_RATE">Rates!$B$18</definedName>
    <definedName name="FN_CALL">Rates!$B$20</definedName>
    <definedName name="SECS">Usage!$B$2</definedName>
    <definedName name="MINS">Usage!$B$3</definedName>
    <definedName name="HOURS">Usage!$B$4</definedName>
    <definedName name="POLL_SEC">Usage!$B$6</definedName>
    <definedName name="POLL_READS">Usage!$B$7</definedName>
    <definedName name="HB_SEC">Usage!$B$8</definedName>
    <definedName name="HB_READS">Usage!$B$9</definedName>
    <definedName name="HB_WRITES">Usage!$B$10</definedName>
    <definedName name="MEDIA_DL">Usage!$B$11</definedName>
    <definedName name="MEDIA_STORE">Usage!$B$12</definedName>
    <definedName name="DATA_SEC">Usage!$B$14</definedName>
    <definedName name="DATA_READS">Usage!$B$15</definedName>
    <definedName name="W_TTL">Usage!$B$16</definedName>
    <definedName name="AQ_TTL">Usage!$B$17</definedName>
    <definedName name="SCREENS_PER_PLACE">Usage!$B$18</definedName>
    <definedName name="POP_UPLOADS">Usage!$B$20</definedName>
    <definedName name="POP_RW">Usage!$B$21</definedName>
    <definedName name="POP_KB">Usage!$B$22</definedName>
    <definedName name="DIAG_WRITES_H">Usage!$B$23</definedName>
    <definedName name="SENS_SEC">Usage!$B$25</definedName>
    <definedName name="SENS_CH">Usage!$B$26</definedName>
    <definedName name="LIVE_SEC">Usage!$B$27</definedName>
    <definedName name="LIVE_READS">Usage!$B$28</definedName>
    <definedName name="SCREENS_PER_SENSOR">Usage!$B$29</definedName>
    <definedName name="MQTT_CFG_MIN">Usage!$B$30</definedName>
    <definedName name="SYNC_CALLS_10M">Usage!$B$32</definedName>
    <definedName name="API_PER_DAY">Usage!$B$34</definedName>
    <definedName name="APPROVALS_PER_MONTH">Usage!$B$35</definedName>
    <definedName name="WL_HOURS">Usage!$B$36</definedName>
    <definedName name="APP_NAMES">'App prices'!$A$2:$A$14</definedName>
    <definedName name="APP_PRICES">'App prices'!$M$2:$M$14</definedName>
    <definedName name="APP_COSTS">'App prices'!$L$2:$L$14</definedName>
  </definedNames>
  <calcPr calcId="171027" fullCalcOnLoad="1"/>
</workbook>
</file>

<file path=xl/sharedStrings.xml><?xml version="1.0" encoding="utf-8"?>
<sst xmlns="http://schemas.openxmlformats.org/spreadsheetml/2006/main" count="273" uniqueCount="223">
  <si>
    <t>WallX Play — app cost &amp; price sheet (Phase 0)</t>
  </si>
  <si>
    <t/>
  </si>
  <si>
    <t>Purpose: set a monthly price for every app from what it costs WallX to run, before we build the App store.</t>
  </si>
  <si>
    <t>How to use</t>
  </si>
  <si>
    <t>1. Rates tab: confirm the cloud prices (yellow cells). Firestore Mumbai rates and internet download are ESTIMATES — check them in</t>
  </si>
  <si>
    <t xml:space="preserve">   Google Cloud console → Billing → Pricing (filter Firestore / Cloud Storage, region asia-south1) and replace them.</t>
  </si>
  <si>
    <t>2. Usage tab: how often each app talks to the cloud. Values come from the code (cited per row). Change the yellow ones that</t>
  </si>
  <si>
    <t xml:space="preserve">   depend on your customers (video size, screens per place, sensor channels, API calls…).</t>
  </si>
  <si>
    <t>3. App prices tab: cost per unit is calculated. Type your price in the yellow "Your price" column; the sheet shows the margin,</t>
  </si>
  <si>
    <t xml:space="preserve">   the lowest price for your target margin, and the dealer (reseller) price.</t>
  </si>
  <si>
    <t>4. Example bill tab: a realistic customer, compared with today's Professional plan price.</t>
  </si>
  <si>
    <t>Colours</t>
  </si>
  <si>
    <t>Blue text = a value you can change · Black = calculated · Green = taken from another tab · Yellow fill = please check or fill in.</t>
  </si>
  <si>
    <t>Notes</t>
  </si>
  <si>
    <t>• Costs ignore Google's free monthly allowances (Firestore daily free quota, 70,000 free Weather and Air Quality calls in India,</t>
  </si>
  <si>
    <t xml:space="preserve">  2 million free function requests). Real costs are lower until you grow; this keeps prices safe at scale.</t>
  </si>
  <si>
    <t>• GST is added on top of all prices. All prices are per month.</t>
  </si>
  <si>
    <t>• "Your price" values are suggestions to start from (today's Starter price is ₹299 per screen). Change them freely.</t>
  </si>
  <si>
    <t>• Infrastructure cost is small next to the prices: the real costs of the business (support, hardware help, sales, Google</t>
  </si>
  <si>
    <t xml:space="preserve">  Workspace, your time) are not in this sheet, so keep healthy margins.</t>
  </si>
  <si>
    <t>Sources</t>
  </si>
  <si>
    <t>Google Maps Platform India pricing (Weather Usage, Air Quality Usage): https://developers.google.com/maps/billing-and-pricing/pricing-india</t>
  </si>
  <si>
    <t>Cloud Run / functions pricing: https://cloud.google.com/run/pricing</t>
  </si>
  <si>
    <t>Firestore pricing (by location): https://cloud.google.com/firestore/pricing</t>
  </si>
  <si>
    <t>Cloud Storage pricing: https://cloud.google.com/storage/pricing</t>
  </si>
  <si>
    <t>Usage intervals: WallX Play code (packages/shared, Android player, ESP32 firmware), October 2026.</t>
  </si>
  <si>
    <t>Rate</t>
  </si>
  <si>
    <t>Value</t>
  </si>
  <si>
    <t>Unit</t>
  </si>
  <si>
    <t>Source / note</t>
  </si>
  <si>
    <t>US dollar → rupee</t>
  </si>
  <si>
    <t>₹ per $</t>
  </si>
  <si>
    <t>Assumption — set today's rate.</t>
  </si>
  <si>
    <t>Firestore document reads</t>
  </si>
  <si>
    <t>$ per 100,000</t>
  </si>
  <si>
    <t>ESTIMATE for asia-south1 (Mumbai). Confirm in Cloud Billing → Pricing.</t>
  </si>
  <si>
    <t>Firestore document writes</t>
  </si>
  <si>
    <t>Firestore stored data</t>
  </si>
  <si>
    <t>$ per GiB-month</t>
  </si>
  <si>
    <t>Function requests</t>
  </si>
  <si>
    <t>$ per million</t>
  </si>
  <si>
    <t>Cloud Run pricing page, request-based billing.</t>
  </si>
  <si>
    <t>Function CPU</t>
  </si>
  <si>
    <t>$ per vCPU-second</t>
  </si>
  <si>
    <t>Cloud Run pricing page, Tier 1 request-based (confirm the Mumbai tier).</t>
  </si>
  <si>
    <t>Function memory</t>
  </si>
  <si>
    <t>$ per GiB-second</t>
  </si>
  <si>
    <t>Cloud Run pricing page, Tier 1 request-based.</t>
  </si>
  <si>
    <t>Average function run time</t>
  </si>
  <si>
    <t>seconds per request</t>
  </si>
  <si>
    <t>Assumption for short device API calls; check Cloud Monitoring.</t>
  </si>
  <si>
    <t>vCPU per function instance</t>
  </si>
  <si>
    <t>vCPU</t>
  </si>
  <si>
    <t>Device API runs on the small 256 MiB / gen1-size CPU setting.</t>
  </si>
  <si>
    <t>Memory per function instance</t>
  </si>
  <si>
    <t>GiB</t>
  </si>
  <si>
    <t>256 MiB functions.</t>
  </si>
  <si>
    <t>Cloud Storage (media) stored</t>
  </si>
  <si>
    <t>$ per GB-month</t>
  </si>
  <si>
    <t>Cloud Storage pricing, Standard class, Mumbai.</t>
  </si>
  <si>
    <t>Internet download (media to players)</t>
  </si>
  <si>
    <t>$ per GB</t>
  </si>
  <si>
    <t>ESTIMATE of Google internet egress to Asia; confirm.</t>
  </si>
  <si>
    <t>Google Weather (India)</t>
  </si>
  <si>
    <t>$ per 1,000 calls</t>
  </si>
  <si>
    <t>Maps Platform India pricing, Weather Usage (India), after 70,000 free per month.</t>
  </si>
  <si>
    <t>Google Air Quality (India)</t>
  </si>
  <si>
    <t>Maps Platform India pricing, Air Quality Usage (India), after 70,000 free per month.</t>
  </si>
  <si>
    <t>Target gross margin</t>
  </si>
  <si>
    <t>fraction</t>
  </si>
  <si>
    <t>For the "lowest price" column: 70% means cost is 30% of the price.</t>
  </si>
  <si>
    <t>Reseller dealer discount</t>
  </si>
  <si>
    <t>Default dealer discount (decision 8); fixed dealer prices per app come later.</t>
  </si>
  <si>
    <t>Staff cost per hour</t>
  </si>
  <si>
    <t>₹ per hour</t>
  </si>
  <si>
    <t>Assumption — for apps that need manual work (white label setup).</t>
  </si>
  <si>
    <t>Cost of one function request</t>
  </si>
  <si>
    <t>$ per request</t>
  </si>
  <si>
    <t>Calculated: request fee + run time × (CPU + memory).</t>
  </si>
  <si>
    <t>Driver</t>
  </si>
  <si>
    <t>Where it comes from</t>
  </si>
  <si>
    <t>Seconds in a month</t>
  </si>
  <si>
    <t>seconds</t>
  </si>
  <si>
    <t>30-day month.</t>
  </si>
  <si>
    <t>Minutes in a month</t>
  </si>
  <si>
    <t>minutes</t>
  </si>
  <si>
    <t>Hours in a month</t>
  </si>
  <si>
    <t>hours</t>
  </si>
  <si>
    <t>Base screen (every screen)</t>
  </si>
  <si>
    <t>Player check-in interval</t>
  </si>
  <si>
    <t>DEVICE_POLL_SEC = 30 (packages/shared/src/devices.ts).</t>
  </si>
  <si>
    <t>Reads per check-in</t>
  </si>
  <si>
    <t>reads</t>
  </si>
  <si>
    <t>Device, screen, organization, entitlements + update check (functions/src/devices/deviceApi.ts).</t>
  </si>
  <si>
    <t>Heartbeat interval</t>
  </si>
  <si>
    <t>DEVICE_HEARTBEAT_SEC = 300.</t>
  </si>
  <si>
    <t>Reads per heartbeat</t>
  </si>
  <si>
    <t>Device + screen.</t>
  </si>
  <si>
    <t>Writes per heartbeat</t>
  </si>
  <si>
    <t>writes</t>
  </si>
  <si>
    <t>Device + screen health.</t>
  </si>
  <si>
    <t>Media downloaded per screen per month</t>
  </si>
  <si>
    <t>GB</t>
  </si>
  <si>
    <t>Customer-dependent: players download only changed media. 1 GB ≈ a few new short videos a month.</t>
  </si>
  <si>
    <t>Media stored per screen</t>
  </si>
  <si>
    <t>Customer-dependent (library size ÷ screens).</t>
  </si>
  <si>
    <t>Weather, air quality and news widgets</t>
  </si>
  <si>
    <t>Player data refresh interval</t>
  </si>
  <si>
    <t>The player fetches /devices/data every 5 minutes (player data loop).</t>
  </si>
  <si>
    <t>Reads per data refresh</t>
  </si>
  <si>
    <t>Device, manifest sources, provider cache.</t>
  </si>
  <si>
    <t>Weather cache per place</t>
  </si>
  <si>
    <t>WEATHER_TTL_MS = 15 min: one Google call per place per 15 min, shared by every screen there.</t>
  </si>
  <si>
    <t>Air quality cache per place</t>
  </si>
  <si>
    <t>AIR_QUALITY_TTL_MS = 30 min.</t>
  </si>
  <si>
    <t>Screens sharing one place</t>
  </si>
  <si>
    <t>screens</t>
  </si>
  <si>
    <t>Customer-dependent: the Google cost per place is split across the screens at that place.</t>
  </si>
  <si>
    <t>Proof-of-play and diagnostics</t>
  </si>
  <si>
    <t>Report uploads per hour</t>
  </si>
  <si>
    <t>uploads</t>
  </si>
  <si>
    <t>Finished hours are uploaded once (player plays loop).</t>
  </si>
  <si>
    <t>Reads and writes per upload</t>
  </si>
  <si>
    <t>each</t>
  </si>
  <si>
    <t>Day summary read + write (functions/src/reports/plays.ts).</t>
  </si>
  <si>
    <t>Report data kept per screen per day</t>
  </si>
  <si>
    <t>KB</t>
  </si>
  <si>
    <t>Estimate; kept for the plan's retention days.</t>
  </si>
  <si>
    <t>Extra diagnostics writes per hour</t>
  </si>
  <si>
    <t>Uptime is in the same upload; events (errors, offline) are rare.</t>
  </si>
  <si>
    <t>Sensors (ESP32 and MQTT)</t>
  </si>
  <si>
    <t>Sensor send interval</t>
  </si>
  <si>
    <t>WXP_INTERVAL_SEC = 60 in the ESP32 sketch (the server allows down to 10 s).</t>
  </si>
  <si>
    <t>Channels per sensor device</t>
  </si>
  <si>
    <t>channels</t>
  </si>
  <si>
    <t>Customer-dependent (e.g. temperature, humidity, door).</t>
  </si>
  <si>
    <t>Screen live-value refresh</t>
  </si>
  <si>
    <t>LIVE_POLL_SEC = 15 while sensor widgets are on screen.</t>
  </si>
  <si>
    <t>Reads per live refresh</t>
  </si>
  <si>
    <t>Device, manifest channels, channel docs (functions/src/sensors/live.ts).</t>
  </si>
  <si>
    <t>Screens showing each sensor</t>
  </si>
  <si>
    <t>Customer-dependent: each screen showing a sensor polls live values.</t>
  </si>
  <si>
    <t>MQTT bridge config refresh</t>
  </si>
  <si>
    <t>MQTT_CONFIG_REFRESH_SEC = 15 min, plus on change.</t>
  </si>
  <si>
    <t>Multi-screen sync</t>
  </si>
  <si>
    <t>Clock samples per 10 minutes</t>
  </si>
  <si>
    <t>requests</t>
  </si>
  <si>
    <t>The player measures the server clock 5 times every 10 minutes (no database reads).</t>
  </si>
  <si>
    <t>Organization apps</t>
  </si>
  <si>
    <t>API calls per day</t>
  </si>
  <si>
    <t>calls</t>
  </si>
  <si>
    <t>Customer-dependent.</t>
  </si>
  <si>
    <t>Approval requests per month</t>
  </si>
  <si>
    <t>White label support per month</t>
  </si>
  <si>
    <t>Custom domain setup and brand help, averaged per month.</t>
  </si>
  <si>
    <t>App</t>
  </si>
  <si>
    <t>What it includes</t>
  </si>
  <si>
    <t>Charged per</t>
  </si>
  <si>
    <t>Function requests / unit / month</t>
  </si>
  <si>
    <t>Firestore reads / unit / month</t>
  </si>
  <si>
    <t>Firestore writes / unit / month</t>
  </si>
  <si>
    <t>Stored GB / unit</t>
  </si>
  <si>
    <t>Downloaded GB / unit</t>
  </si>
  <si>
    <t>Google API cost ($ / unit)</t>
  </si>
  <si>
    <t>Other cost (₹ / unit)</t>
  </si>
  <si>
    <t>Cost per unit ($)</t>
  </si>
  <si>
    <t>Cost per unit (₹)</t>
  </si>
  <si>
    <t>Your price (₹ / unit / month)</t>
  </si>
  <si>
    <t>Gross margin</t>
  </si>
  <si>
    <t>Price ÷ cost</t>
  </si>
  <si>
    <t>Lowest price at target margin (₹)</t>
  </si>
  <si>
    <t>Dealer price (₹)</t>
  </si>
  <si>
    <t>Dealer margin for WallX</t>
  </si>
  <si>
    <t>Screen (base)</t>
  </si>
  <si>
    <t>Media, layouts &amp; templates, text/clock/QR/table/web widgets, emergency, monitoring, remote restart</t>
  </si>
  <si>
    <t>screen</t>
  </si>
  <si>
    <t>Weather &amp; air quality</t>
  </si>
  <si>
    <t>Weather and AQI widgets (Google data)</t>
  </si>
  <si>
    <t>News (RSS)</t>
  </si>
  <si>
    <t>RSS headline widget</t>
  </si>
  <si>
    <t>Touch kiosk</t>
  </si>
  <si>
    <t>Touch pages, buttons, tap counts</t>
  </si>
  <si>
    <t>Sync &amp; video wall</t>
  </si>
  <si>
    <t>Mirror groups and video walls</t>
  </si>
  <si>
    <t>Proof-of-play</t>
  </si>
  <si>
    <t>Playback reports and CSV</t>
  </si>
  <si>
    <t>Analytics &amp; diagnostics</t>
  </si>
  <si>
    <t>Uptime, vitals, event history</t>
  </si>
  <si>
    <t>Sensors</t>
  </si>
  <si>
    <t>ESP32 or MQTT sensor device: channels, alerts, history, live widgets</t>
  </si>
  <si>
    <t>sensor device</t>
  </si>
  <si>
    <t>MQTT bridge</t>
  </si>
  <si>
    <t>Read sensors from the customer's MQTT broker through one of their screens</t>
  </si>
  <si>
    <t>organization</t>
  </si>
  <si>
    <t>Content approvals</t>
  </si>
  <si>
    <t>Approval workflow before publishing</t>
  </si>
  <si>
    <t>API &amp; webhooks</t>
  </si>
  <si>
    <t>API keys, signed webhooks</t>
  </si>
  <si>
    <t>White label</t>
  </si>
  <si>
    <t>Own brand on app, screens and emails; custom web address</t>
  </si>
  <si>
    <t>Extra storage (10 GB)</t>
  </si>
  <si>
    <t>More media library space</t>
  </si>
  <si>
    <t>10 GB</t>
  </si>
  <si>
    <t>Units: "screen" = per screen that has the app; "organization" = one flat fee; "sensor device" = per ESP32 or MQTT device.</t>
  </si>
  <si>
    <t>Sensors cost includes the screens showing its live values (Usage → Screens showing each sensor).</t>
  </si>
  <si>
    <t>Weather cost is per place, shared by the screens at that place (Usage → Screens sharing one place).</t>
  </si>
  <si>
    <t>"Your price" values are suggestions to start from; edit them. Lowest price = cost ÷ (1 − target margin).</t>
  </si>
  <si>
    <t>Dealer price = your price × (1 − dealer discount). Fixed dealer prices per app come with Phase 2.</t>
  </si>
  <si>
    <t>Example customer: a retail chain with 10 screens</t>
  </si>
  <si>
    <t>Units</t>
  </si>
  <si>
    <t>Price per unit (₹)</t>
  </si>
  <si>
    <t>Monthly price (₹)</t>
  </si>
  <si>
    <t>Monthly cost (₹)</t>
  </si>
  <si>
    <t>Total per month (before GST)</t>
  </si>
  <si>
    <t>GST rate</t>
  </si>
  <si>
    <t>Assumption — confirm with your accountant.</t>
  </si>
  <si>
    <t>Total with GST</t>
  </si>
  <si>
    <t>Same customer on today's Professional plan</t>
  </si>
  <si>
    <t>Professional price per screen (₹)</t>
  </si>
  <si>
    <t>Current plan (seed data). It includes weather, RSS, approvals, sensors, reports and diagnostics.</t>
  </si>
  <si>
    <t>Professional total per month (₹)</t>
  </si>
  <si>
    <t>Difference (apps − plan)</t>
  </si>
  <si>
    <t>Change the yellow unit counts to try other customers.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</si>
</sst>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0.000"/>
    <numFmt numFmtId="165" formatCode="0.0000000"/>
    <numFmt numFmtId="166" formatCode="0.0%"/>
    <numFmt numFmtId="167" formatCode="0.000000000"/>
    <numFmt numFmtId="168" formatCode="#,##0.##"/>
    <numFmt numFmtId="169" formatCode="0.0000"/>
    <numFmt numFmtId="170" formatCode="0.0&quot;x&quot;"/>
    <numFmt numFmtId="171" formatCode="#,##0.00;(#,##0.00);-"/>
  </numFmts>
  <fonts count="7" x14ac:knownFonts="1">
    <font>
      <color theme="1"/>
      <family val="2"/>
      <scheme val="minor"/>
      <sz val="11"/>
      <name val="Calibri"/>
    </font>
    <font>
      <b/>
      <sz val="14"/>
      <name val="Arial"/>
    </font>
    <font>
      <sz val="10"/>
      <name val="Arial"/>
    </font>
    <font>
      <b/>
      <sz val="10"/>
      <name val="Arial"/>
    </font>
    <font>
      <color rgb="FF0000FF"/>
      <sz val="10"/>
      <name val="Arial"/>
    </font>
    <font>
      <b/>
      <color rgb="FF0000FF"/>
      <sz val="10"/>
      <name val="Arial"/>
    </font>
    <font>
      <color rgb="FF008000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E8EAF6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Border="1" applyAlignment="1">
      <alignment vertical="top" wrapText="1"/>
    </xf>
    <xf numFmtId="3" fontId="4" fillId="3" borderId="0" xfId="0" applyNumberFormat="1" applyFont="1" applyFill="1"/>
    <xf numFmtId="164" fontId="4" fillId="3" borderId="0" xfId="0" applyNumberFormat="1" applyFont="1" applyFill="1"/>
    <xf numFmtId="2" fontId="4" fillId="0" borderId="0" xfId="0" applyNumberFormat="1" applyFont="1"/>
    <xf numFmtId="165" fontId="4" fillId="0" borderId="0" xfId="0" applyNumberFormat="1" applyFont="1"/>
    <xf numFmtId="2" fontId="4" fillId="3" borderId="0" xfId="0" applyNumberFormat="1" applyFont="1" applyFill="1"/>
    <xf numFmtId="164" fontId="4" fillId="0" borderId="0" xfId="0" applyNumberFormat="1" applyFont="1"/>
    <xf numFmtId="166" fontId="4" fillId="3" borderId="0" xfId="0" applyNumberFormat="1" applyFont="1" applyFill="1"/>
    <xf numFmtId="167" fontId="2" fillId="0" borderId="0" xfId="0" applyNumberFormat="1" applyFont="1"/>
    <xf numFmtId="168" fontId="2" fillId="0" borderId="0" xfId="0" applyNumberFormat="1" applyFont="1"/>
    <xf numFmtId="168" fontId="4" fillId="0" borderId="0" xfId="0" applyNumberFormat="1" applyFont="1"/>
    <xf numFmtId="168" fontId="4" fillId="3" borderId="0" xfId="0" applyNumberFormat="1" applyFont="1" applyFill="1"/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3" fontId="2" fillId="0" borderId="1" xfId="0" applyNumberFormat="1" applyFont="1" applyBorder="1"/>
    <xf numFmtId="169" fontId="2" fillId="0" borderId="1" xfId="0" applyNumberFormat="1" applyFont="1" applyBorder="1"/>
    <xf numFmtId="169" fontId="4" fillId="0" borderId="1" xfId="0" applyNumberFormat="1" applyFont="1" applyBorder="1"/>
    <xf numFmtId="3" fontId="4" fillId="0" borderId="1" xfId="0" applyNumberFormat="1" applyFont="1" applyBorder="1"/>
    <xf numFmtId="4" fontId="2" fillId="0" borderId="1" xfId="0" applyNumberFormat="1" applyFont="1" applyBorder="1"/>
    <xf numFmtId="3" fontId="5" fillId="3" borderId="1" xfId="0" applyNumberFormat="1" applyFont="1" applyFill="1" applyBorder="1"/>
    <xf numFmtId="166" fontId="2" fillId="0" borderId="1" xfId="0" applyNumberFormat="1" applyFont="1" applyBorder="1"/>
    <xf numFmtId="170" fontId="2" fillId="0" borderId="1" xfId="0" applyNumberFormat="1" applyFont="1" applyBorder="1"/>
    <xf numFmtId="0" fontId="4" fillId="3" borderId="0" xfId="0" applyFont="1" applyFill="1"/>
    <xf numFmtId="4" fontId="6" fillId="0" borderId="0" xfId="0" applyNumberFormat="1" applyFont="1"/>
    <xf numFmtId="4" fontId="2" fillId="0" borderId="0" xfId="0" applyNumberFormat="1" applyFont="1"/>
    <xf numFmtId="4" fontId="3" fillId="0" borderId="0" xfId="0" applyNumberFormat="1" applyFont="1"/>
    <xf numFmtId="9" fontId="4" fillId="0" borderId="0" xfId="0" applyNumberFormat="1" applyFont="1"/>
    <xf numFmtId="166" fontId="3" fillId="0" borderId="0" xfId="0" applyNumberFormat="1" applyFont="1"/>
    <xf numFmtId="3" fontId="4" fillId="0" borderId="0" xfId="0" applyNumberFormat="1" applyFont="1"/>
    <xf numFmtId="171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FormatPr defaultRowHeight="15" outlineLevelRow="0" outlineLevelCol="0" x14ac:dyDescent="55"/>
  <cols>
    <col min="1" max="1" width="12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1</v>
      </c>
    </row>
    <row r="5" spans="1:1" x14ac:dyDescent="0.25">
      <c r="A5" s="3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  <row r="9" spans="1:1" x14ac:dyDescent="0.25">
      <c r="A9" s="2" t="s">
        <v>7</v>
      </c>
    </row>
    <row r="10" spans="1:1" x14ac:dyDescent="0.25">
      <c r="A10" s="2" t="s">
        <v>8</v>
      </c>
    </row>
    <row r="11" spans="1:1" x14ac:dyDescent="0.25">
      <c r="A11" s="2" t="s">
        <v>9</v>
      </c>
    </row>
    <row r="12" spans="1:1" x14ac:dyDescent="0.25">
      <c r="A12" s="2" t="s">
        <v>10</v>
      </c>
    </row>
    <row r="13" spans="1:1" x14ac:dyDescent="0.25">
      <c r="A13" s="2" t="s">
        <v>1</v>
      </c>
    </row>
    <row r="14" spans="1:1" x14ac:dyDescent="0.25">
      <c r="A14" s="3" t="s">
        <v>11</v>
      </c>
    </row>
    <row r="15" spans="1:1" x14ac:dyDescent="0.25">
      <c r="A15" s="2" t="s">
        <v>12</v>
      </c>
    </row>
    <row r="16" spans="1:1" x14ac:dyDescent="0.25">
      <c r="A16" s="2" t="s">
        <v>1</v>
      </c>
    </row>
    <row r="17" spans="1:1" x14ac:dyDescent="0.25">
      <c r="A17" s="3" t="s">
        <v>13</v>
      </c>
    </row>
    <row r="18" spans="1:1" x14ac:dyDescent="0.25">
      <c r="A18" s="2" t="s">
        <v>14</v>
      </c>
    </row>
    <row r="19" spans="1:1" x14ac:dyDescent="0.25">
      <c r="A19" s="2" t="s">
        <v>15</v>
      </c>
    </row>
    <row r="20" spans="1:1" x14ac:dyDescent="0.25">
      <c r="A20" s="2" t="s">
        <v>16</v>
      </c>
    </row>
    <row r="21" spans="1:1" x14ac:dyDescent="0.25">
      <c r="A21" s="2" t="s">
        <v>17</v>
      </c>
    </row>
    <row r="22" spans="1:1" x14ac:dyDescent="0.25">
      <c r="A22" s="2" t="s">
        <v>18</v>
      </c>
    </row>
    <row r="23" spans="1:1" x14ac:dyDescent="0.25">
      <c r="A23" s="2" t="s">
        <v>19</v>
      </c>
    </row>
    <row r="24" spans="1:1" x14ac:dyDescent="0.25">
      <c r="A24" s="2" t="s">
        <v>1</v>
      </c>
    </row>
    <row r="25" spans="1:1" x14ac:dyDescent="0.25">
      <c r="A25" s="3" t="s">
        <v>20</v>
      </c>
    </row>
    <row r="26" spans="1:1" x14ac:dyDescent="0.25">
      <c r="A26" s="2" t="s">
        <v>21</v>
      </c>
    </row>
    <row r="27" spans="1:1" x14ac:dyDescent="0.25">
      <c r="A27" s="2" t="s">
        <v>22</v>
      </c>
    </row>
    <row r="28" spans="1:1" x14ac:dyDescent="0.25">
      <c r="A28" s="2" t="s">
        <v>23</v>
      </c>
    </row>
    <row r="29" spans="1:1" x14ac:dyDescent="0.25">
      <c r="A29" s="2" t="s">
        <v>24</v>
      </c>
    </row>
    <row r="30" spans="1:1" x14ac:dyDescent="0.25">
      <c r="A30" s="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FormatPr defaultRowHeight="15" outlineLevelRow="0" outlineLevelCol="0" x14ac:dyDescent="55"/>
  <cols>
    <col min="1" max="1" width="42" customWidth="1"/>
    <col min="2" max="2" width="14" customWidth="1"/>
    <col min="3" max="3" width="22" customWidth="1"/>
    <col min="4" max="4" width="92" customWidth="1"/>
  </cols>
  <sheetData>
    <row r="1" spans="1:4" x14ac:dyDescent="0.25">
      <c r="A1" s="4" t="s">
        <v>26</v>
      </c>
      <c r="B1" s="4" t="s">
        <v>27</v>
      </c>
      <c r="C1" s="4" t="s">
        <v>28</v>
      </c>
      <c r="D1" s="4" t="s">
        <v>29</v>
      </c>
    </row>
    <row r="2" spans="1:4" x14ac:dyDescent="0.25">
      <c r="A2" s="2" t="s">
        <v>30</v>
      </c>
      <c r="B2" s="5">
        <v>88</v>
      </c>
      <c r="C2" s="2" t="s">
        <v>31</v>
      </c>
      <c r="D2" s="2" t="s">
        <v>32</v>
      </c>
    </row>
    <row r="3" spans="1:4" x14ac:dyDescent="0.25">
      <c r="A3" s="2" t="s">
        <v>33</v>
      </c>
      <c r="B3" s="6">
        <v>0.036</v>
      </c>
      <c r="C3" s="2" t="s">
        <v>34</v>
      </c>
      <c r="D3" s="2" t="s">
        <v>35</v>
      </c>
    </row>
    <row r="4" spans="1:4" x14ac:dyDescent="0.25">
      <c r="A4" s="2" t="s">
        <v>36</v>
      </c>
      <c r="B4" s="6">
        <v>0.108</v>
      </c>
      <c r="C4" s="2" t="s">
        <v>34</v>
      </c>
      <c r="D4" s="2" t="s">
        <v>35</v>
      </c>
    </row>
    <row r="5" spans="1:4" x14ac:dyDescent="0.25">
      <c r="A5" s="2" t="s">
        <v>37</v>
      </c>
      <c r="B5" s="6">
        <v>0.198</v>
      </c>
      <c r="C5" s="2" t="s">
        <v>38</v>
      </c>
      <c r="D5" s="2" t="s">
        <v>35</v>
      </c>
    </row>
    <row r="6" spans="1:4" x14ac:dyDescent="0.25">
      <c r="A6" s="2" t="s">
        <v>39</v>
      </c>
      <c r="B6" s="7">
        <v>0.4</v>
      </c>
      <c r="C6" s="2" t="s">
        <v>40</v>
      </c>
      <c r="D6" s="2" t="s">
        <v>41</v>
      </c>
    </row>
    <row r="7" spans="1:4" x14ac:dyDescent="0.25">
      <c r="A7" s="2" t="s">
        <v>42</v>
      </c>
      <c r="B7" s="8">
        <v>0.000024</v>
      </c>
      <c r="C7" s="2" t="s">
        <v>43</v>
      </c>
      <c r="D7" s="2" t="s">
        <v>44</v>
      </c>
    </row>
    <row r="8" spans="1:4" x14ac:dyDescent="0.25">
      <c r="A8" s="2" t="s">
        <v>45</v>
      </c>
      <c r="B8" s="8">
        <v>0.0000025</v>
      </c>
      <c r="C8" s="2" t="s">
        <v>46</v>
      </c>
      <c r="D8" s="2" t="s">
        <v>47</v>
      </c>
    </row>
    <row r="9" spans="1:4" x14ac:dyDescent="0.25">
      <c r="A9" s="2" t="s">
        <v>48</v>
      </c>
      <c r="B9" s="9">
        <v>0.15</v>
      </c>
      <c r="C9" s="2" t="s">
        <v>49</v>
      </c>
      <c r="D9" s="2" t="s">
        <v>50</v>
      </c>
    </row>
    <row r="10" spans="1:4" x14ac:dyDescent="0.25">
      <c r="A10" s="2" t="s">
        <v>51</v>
      </c>
      <c r="B10" s="10">
        <v>0.167</v>
      </c>
      <c r="C10" s="2" t="s">
        <v>52</v>
      </c>
      <c r="D10" s="2" t="s">
        <v>53</v>
      </c>
    </row>
    <row r="11" spans="1:4" x14ac:dyDescent="0.25">
      <c r="A11" s="2" t="s">
        <v>54</v>
      </c>
      <c r="B11" s="7">
        <v>0.25</v>
      </c>
      <c r="C11" s="2" t="s">
        <v>55</v>
      </c>
      <c r="D11" s="2" t="s">
        <v>56</v>
      </c>
    </row>
    <row r="12" spans="1:4" x14ac:dyDescent="0.25">
      <c r="A12" s="2" t="s">
        <v>57</v>
      </c>
      <c r="B12" s="10">
        <v>0.023</v>
      </c>
      <c r="C12" s="2" t="s">
        <v>58</v>
      </c>
      <c r="D12" s="2" t="s">
        <v>59</v>
      </c>
    </row>
    <row r="13" spans="1:4" x14ac:dyDescent="0.25">
      <c r="A13" s="2" t="s">
        <v>60</v>
      </c>
      <c r="B13" s="9">
        <v>0.12</v>
      </c>
      <c r="C13" s="2" t="s">
        <v>61</v>
      </c>
      <c r="D13" s="2" t="s">
        <v>62</v>
      </c>
    </row>
    <row r="14" spans="1:4" x14ac:dyDescent="0.25">
      <c r="A14" s="2" t="s">
        <v>63</v>
      </c>
      <c r="B14" s="10">
        <v>0.06</v>
      </c>
      <c r="C14" s="2" t="s">
        <v>64</v>
      </c>
      <c r="D14" s="2" t="s">
        <v>65</v>
      </c>
    </row>
    <row r="15" spans="1:4" x14ac:dyDescent="0.25">
      <c r="A15" s="2" t="s">
        <v>66</v>
      </c>
      <c r="B15" s="10">
        <v>0.5</v>
      </c>
      <c r="C15" s="2" t="s">
        <v>64</v>
      </c>
      <c r="D15" s="2" t="s">
        <v>67</v>
      </c>
    </row>
    <row r="16" spans="1:4" x14ac:dyDescent="0.25">
      <c r="A16" s="2" t="s">
        <v>68</v>
      </c>
      <c r="B16" s="11">
        <v>0.7</v>
      </c>
      <c r="C16" s="2" t="s">
        <v>69</v>
      </c>
      <c r="D16" s="2" t="s">
        <v>70</v>
      </c>
    </row>
    <row r="17" spans="1:4" x14ac:dyDescent="0.25">
      <c r="A17" s="2" t="s">
        <v>71</v>
      </c>
      <c r="B17" s="11">
        <v>0.2</v>
      </c>
      <c r="C17" s="2" t="s">
        <v>69</v>
      </c>
      <c r="D17" s="2" t="s">
        <v>72</v>
      </c>
    </row>
    <row r="18" spans="1:4" x14ac:dyDescent="0.25">
      <c r="A18" s="2" t="s">
        <v>73</v>
      </c>
      <c r="B18" s="5">
        <v>500</v>
      </c>
      <c r="C18" s="2" t="s">
        <v>74</v>
      </c>
      <c r="D18" s="2" t="s">
        <v>75</v>
      </c>
    </row>
    <row r="20" spans="1:4" x14ac:dyDescent="0.25">
      <c r="A20" s="3" t="s">
        <v>76</v>
      </c>
      <c r="B20" s="12">
        <f>FN_REQ/1000000+FN_SEC*(FN_VCPU*FN_CPU+FN_GIB*FN_MEM)</f>
        <v>0.00000109495</v>
      </c>
      <c r="C20" s="2" t="s">
        <v>77</v>
      </c>
      <c r="D20" s="2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FormatPr defaultRowHeight="15" outlineLevelRow="0" outlineLevelCol="0" x14ac:dyDescent="55"/>
  <cols>
    <col min="1" max="1" width="46" customWidth="1"/>
    <col min="2" max="2" width="12" customWidth="1"/>
    <col min="3" max="3" width="22" customWidth="1"/>
    <col min="4" max="4" width="92" customWidth="1"/>
  </cols>
  <sheetData>
    <row r="1" spans="1:4" x14ac:dyDescent="0.25">
      <c r="A1" s="4" t="s">
        <v>79</v>
      </c>
      <c r="B1" s="4" t="s">
        <v>27</v>
      </c>
      <c r="C1" s="4" t="s">
        <v>28</v>
      </c>
      <c r="D1" s="4" t="s">
        <v>80</v>
      </c>
    </row>
    <row r="2" spans="1:4" x14ac:dyDescent="0.25">
      <c r="A2" s="2" t="s">
        <v>81</v>
      </c>
      <c r="B2" s="13">
        <f>30*24*3600</f>
        <v>2592000</v>
      </c>
      <c r="C2" s="2" t="s">
        <v>82</v>
      </c>
      <c r="D2" s="2" t="s">
        <v>83</v>
      </c>
    </row>
    <row r="3" spans="1:4" x14ac:dyDescent="0.25">
      <c r="A3" s="2" t="s">
        <v>84</v>
      </c>
      <c r="B3" s="13">
        <f>30*24*60</f>
        <v>43200</v>
      </c>
      <c r="C3" s="2" t="s">
        <v>85</v>
      </c>
      <c r="D3" s="2" t="s">
        <v>83</v>
      </c>
    </row>
    <row r="4" spans="1:4" x14ac:dyDescent="0.25">
      <c r="A4" s="2" t="s">
        <v>86</v>
      </c>
      <c r="B4" s="13">
        <f>30*24</f>
        <v>720</v>
      </c>
      <c r="C4" s="2" t="s">
        <v>87</v>
      </c>
      <c r="D4" s="2" t="s">
        <v>83</v>
      </c>
    </row>
    <row r="5" spans="1:1" x14ac:dyDescent="0.25">
      <c r="A5" s="3" t="s">
        <v>88</v>
      </c>
    </row>
    <row r="6" spans="1:4" x14ac:dyDescent="0.25">
      <c r="A6" s="2" t="s">
        <v>89</v>
      </c>
      <c r="B6" s="14">
        <v>30</v>
      </c>
      <c r="C6" s="2" t="s">
        <v>82</v>
      </c>
      <c r="D6" s="2" t="s">
        <v>90</v>
      </c>
    </row>
    <row r="7" spans="1:4" x14ac:dyDescent="0.25">
      <c r="A7" s="2" t="s">
        <v>91</v>
      </c>
      <c r="B7" s="14">
        <v>5</v>
      </c>
      <c r="C7" s="2" t="s">
        <v>92</v>
      </c>
      <c r="D7" s="2" t="s">
        <v>93</v>
      </c>
    </row>
    <row r="8" spans="1:4" x14ac:dyDescent="0.25">
      <c r="A8" s="2" t="s">
        <v>94</v>
      </c>
      <c r="B8" s="14">
        <v>300</v>
      </c>
      <c r="C8" s="2" t="s">
        <v>82</v>
      </c>
      <c r="D8" s="2" t="s">
        <v>95</v>
      </c>
    </row>
    <row r="9" spans="1:4" x14ac:dyDescent="0.25">
      <c r="A9" s="2" t="s">
        <v>96</v>
      </c>
      <c r="B9" s="14">
        <v>2</v>
      </c>
      <c r="C9" s="2" t="s">
        <v>92</v>
      </c>
      <c r="D9" s="2" t="s">
        <v>97</v>
      </c>
    </row>
    <row r="10" spans="1:4" x14ac:dyDescent="0.25">
      <c r="A10" s="2" t="s">
        <v>98</v>
      </c>
      <c r="B10" s="14">
        <v>2</v>
      </c>
      <c r="C10" s="2" t="s">
        <v>99</v>
      </c>
      <c r="D10" s="2" t="s">
        <v>100</v>
      </c>
    </row>
    <row r="11" spans="1:4" x14ac:dyDescent="0.25">
      <c r="A11" s="2" t="s">
        <v>101</v>
      </c>
      <c r="B11" s="15">
        <v>1</v>
      </c>
      <c r="C11" s="2" t="s">
        <v>102</v>
      </c>
      <c r="D11" s="2" t="s">
        <v>103</v>
      </c>
    </row>
    <row r="12" spans="1:4" x14ac:dyDescent="0.25">
      <c r="A12" s="2" t="s">
        <v>104</v>
      </c>
      <c r="B12" s="15">
        <v>1</v>
      </c>
      <c r="C12" s="2" t="s">
        <v>102</v>
      </c>
      <c r="D12" s="2" t="s">
        <v>105</v>
      </c>
    </row>
    <row r="13" spans="1:1" x14ac:dyDescent="0.25">
      <c r="A13" s="3" t="s">
        <v>106</v>
      </c>
    </row>
    <row r="14" spans="1:4" x14ac:dyDescent="0.25">
      <c r="A14" s="2" t="s">
        <v>107</v>
      </c>
      <c r="B14" s="14">
        <v>300</v>
      </c>
      <c r="C14" s="2" t="s">
        <v>82</v>
      </c>
      <c r="D14" s="2" t="s">
        <v>108</v>
      </c>
    </row>
    <row r="15" spans="1:4" x14ac:dyDescent="0.25">
      <c r="A15" s="2" t="s">
        <v>109</v>
      </c>
      <c r="B15" s="14">
        <v>3</v>
      </c>
      <c r="C15" s="2" t="s">
        <v>92</v>
      </c>
      <c r="D15" s="2" t="s">
        <v>110</v>
      </c>
    </row>
    <row r="16" spans="1:4" x14ac:dyDescent="0.25">
      <c r="A16" s="2" t="s">
        <v>111</v>
      </c>
      <c r="B16" s="14">
        <v>15</v>
      </c>
      <c r="C16" s="2" t="s">
        <v>85</v>
      </c>
      <c r="D16" s="2" t="s">
        <v>112</v>
      </c>
    </row>
    <row r="17" spans="1:4" x14ac:dyDescent="0.25">
      <c r="A17" s="2" t="s">
        <v>113</v>
      </c>
      <c r="B17" s="14">
        <v>30</v>
      </c>
      <c r="C17" s="2" t="s">
        <v>85</v>
      </c>
      <c r="D17" s="2" t="s">
        <v>114</v>
      </c>
    </row>
    <row r="18" spans="1:4" x14ac:dyDescent="0.25">
      <c r="A18" s="2" t="s">
        <v>115</v>
      </c>
      <c r="B18" s="15">
        <v>3</v>
      </c>
      <c r="C18" s="2" t="s">
        <v>116</v>
      </c>
      <c r="D18" s="2" t="s">
        <v>117</v>
      </c>
    </row>
    <row r="19" spans="1:1" x14ac:dyDescent="0.25">
      <c r="A19" s="3" t="s">
        <v>118</v>
      </c>
    </row>
    <row r="20" spans="1:4" x14ac:dyDescent="0.25">
      <c r="A20" s="2" t="s">
        <v>119</v>
      </c>
      <c r="B20" s="14">
        <v>1</v>
      </c>
      <c r="C20" s="2" t="s">
        <v>120</v>
      </c>
      <c r="D20" s="2" t="s">
        <v>121</v>
      </c>
    </row>
    <row r="21" spans="1:4" x14ac:dyDescent="0.25">
      <c r="A21" s="2" t="s">
        <v>122</v>
      </c>
      <c r="B21" s="14">
        <v>2</v>
      </c>
      <c r="C21" s="2" t="s">
        <v>123</v>
      </c>
      <c r="D21" s="2" t="s">
        <v>124</v>
      </c>
    </row>
    <row r="22" spans="1:4" x14ac:dyDescent="0.25">
      <c r="A22" s="2" t="s">
        <v>125</v>
      </c>
      <c r="B22" s="15">
        <v>5</v>
      </c>
      <c r="C22" s="2" t="s">
        <v>126</v>
      </c>
      <c r="D22" s="2" t="s">
        <v>127</v>
      </c>
    </row>
    <row r="23" spans="1:4" x14ac:dyDescent="0.25">
      <c r="A23" s="2" t="s">
        <v>128</v>
      </c>
      <c r="B23" s="14">
        <v>0.5</v>
      </c>
      <c r="C23" s="2" t="s">
        <v>99</v>
      </c>
      <c r="D23" s="2" t="s">
        <v>129</v>
      </c>
    </row>
    <row r="24" spans="1:1" x14ac:dyDescent="0.25">
      <c r="A24" s="3" t="s">
        <v>130</v>
      </c>
    </row>
    <row r="25" spans="1:4" x14ac:dyDescent="0.25">
      <c r="A25" s="2" t="s">
        <v>131</v>
      </c>
      <c r="B25" s="15">
        <v>60</v>
      </c>
      <c r="C25" s="2" t="s">
        <v>82</v>
      </c>
      <c r="D25" s="2" t="s">
        <v>132</v>
      </c>
    </row>
    <row r="26" spans="1:4" x14ac:dyDescent="0.25">
      <c r="A26" s="2" t="s">
        <v>133</v>
      </c>
      <c r="B26" s="15">
        <v>3</v>
      </c>
      <c r="C26" s="2" t="s">
        <v>134</v>
      </c>
      <c r="D26" s="2" t="s">
        <v>135</v>
      </c>
    </row>
    <row r="27" spans="1:4" x14ac:dyDescent="0.25">
      <c r="A27" s="2" t="s">
        <v>136</v>
      </c>
      <c r="B27" s="14">
        <v>15</v>
      </c>
      <c r="C27" s="2" t="s">
        <v>82</v>
      </c>
      <c r="D27" s="2" t="s">
        <v>137</v>
      </c>
    </row>
    <row r="28" spans="1:4" x14ac:dyDescent="0.25">
      <c r="A28" s="2" t="s">
        <v>138</v>
      </c>
      <c r="B28" s="14">
        <v>4</v>
      </c>
      <c r="C28" s="2" t="s">
        <v>92</v>
      </c>
      <c r="D28" s="2" t="s">
        <v>139</v>
      </c>
    </row>
    <row r="29" spans="1:4" x14ac:dyDescent="0.25">
      <c r="A29" s="2" t="s">
        <v>140</v>
      </c>
      <c r="B29" s="15">
        <v>1</v>
      </c>
      <c r="C29" s="2" t="s">
        <v>116</v>
      </c>
      <c r="D29" s="2" t="s">
        <v>141</v>
      </c>
    </row>
    <row r="30" spans="1:4" x14ac:dyDescent="0.25">
      <c r="A30" s="2" t="s">
        <v>142</v>
      </c>
      <c r="B30" s="14">
        <v>15</v>
      </c>
      <c r="C30" s="2" t="s">
        <v>85</v>
      </c>
      <c r="D30" s="2" t="s">
        <v>143</v>
      </c>
    </row>
    <row r="31" spans="1:1" x14ac:dyDescent="0.25">
      <c r="A31" s="3" t="s">
        <v>144</v>
      </c>
    </row>
    <row r="32" spans="1:4" x14ac:dyDescent="0.25">
      <c r="A32" s="2" t="s">
        <v>145</v>
      </c>
      <c r="B32" s="14">
        <v>5</v>
      </c>
      <c r="C32" s="2" t="s">
        <v>146</v>
      </c>
      <c r="D32" s="2" t="s">
        <v>147</v>
      </c>
    </row>
    <row r="33" spans="1:1" x14ac:dyDescent="0.25">
      <c r="A33" s="3" t="s">
        <v>148</v>
      </c>
    </row>
    <row r="34" spans="1:4" x14ac:dyDescent="0.25">
      <c r="A34" s="2" t="s">
        <v>149</v>
      </c>
      <c r="B34" s="15">
        <v>1000</v>
      </c>
      <c r="C34" s="2" t="s">
        <v>150</v>
      </c>
      <c r="D34" s="2" t="s">
        <v>151</v>
      </c>
    </row>
    <row r="35" spans="1:4" x14ac:dyDescent="0.25">
      <c r="A35" s="2" t="s">
        <v>152</v>
      </c>
      <c r="B35" s="15">
        <v>50</v>
      </c>
      <c r="C35" s="2" t="s">
        <v>146</v>
      </c>
      <c r="D35" s="2" t="s">
        <v>151</v>
      </c>
    </row>
    <row r="36" spans="1:4" x14ac:dyDescent="0.25">
      <c r="A36" s="2" t="s">
        <v>153</v>
      </c>
      <c r="B36" s="15">
        <v>0.5</v>
      </c>
      <c r="C36" s="2" t="s">
        <v>87</v>
      </c>
      <c r="D36" s="2" t="s">
        <v>154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6" customWidth="1"/>
    <col min="2" max="2" width="40" customWidth="1"/>
    <col min="3" max="3" width="15" customWidth="1"/>
    <col min="4" max="6" width="14" customWidth="1"/>
    <col min="7" max="8" width="11" customWidth="1"/>
    <col min="9" max="9" width="13" customWidth="1"/>
    <col min="10" max="12" width="12" customWidth="1"/>
    <col min="13" max="13" width="14" customWidth="1"/>
    <col min="14" max="14" width="11" customWidth="1"/>
    <col min="15" max="15" width="10" customWidth="1"/>
    <col min="16" max="16" width="14" customWidth="1"/>
    <col min="17" max="18" width="12" customWidth="1"/>
  </cols>
  <sheetData>
    <row r="1" ht="58" customHeight="1" spans="1:18" x14ac:dyDescent="0.25">
      <c r="A1" s="4" t="s">
        <v>155</v>
      </c>
      <c r="B1" s="4" t="s">
        <v>156</v>
      </c>
      <c r="C1" s="4" t="s">
        <v>157</v>
      </c>
      <c r="D1" s="4" t="s">
        <v>158</v>
      </c>
      <c r="E1" s="4" t="s">
        <v>159</v>
      </c>
      <c r="F1" s="4" t="s">
        <v>160</v>
      </c>
      <c r="G1" s="4" t="s">
        <v>161</v>
      </c>
      <c r="H1" s="4" t="s">
        <v>162</v>
      </c>
      <c r="I1" s="4" t="s">
        <v>163</v>
      </c>
      <c r="J1" s="4" t="s">
        <v>164</v>
      </c>
      <c r="K1" s="4" t="s">
        <v>165</v>
      </c>
      <c r="L1" s="4" t="s">
        <v>166</v>
      </c>
      <c r="M1" s="4" t="s">
        <v>167</v>
      </c>
      <c r="N1" s="4" t="s">
        <v>168</v>
      </c>
      <c r="O1" s="4" t="s">
        <v>169</v>
      </c>
      <c r="P1" s="4" t="s">
        <v>170</v>
      </c>
      <c r="Q1" s="4" t="s">
        <v>171</v>
      </c>
      <c r="R1" s="4" t="s">
        <v>172</v>
      </c>
    </row>
    <row r="2" spans="1:18" x14ac:dyDescent="0.25">
      <c r="A2" s="16" t="s">
        <v>173</v>
      </c>
      <c r="B2" s="17" t="s">
        <v>174</v>
      </c>
      <c r="C2" s="17" t="s">
        <v>175</v>
      </c>
      <c r="D2" s="18">
        <f>SECS/POLL_SEC+SECS/HB_SEC</f>
        <v>95040</v>
      </c>
      <c r="E2" s="18">
        <f>SECS/POLL_SEC*POLL_READS+SECS/HB_SEC*HB_READS</f>
        <v>449280</v>
      </c>
      <c r="F2" s="18">
        <f>SECS/HB_SEC*HB_WRITES</f>
        <v>17280</v>
      </c>
      <c r="G2" s="19">
        <f>MEDIA_STORE</f>
        <v>1</v>
      </c>
      <c r="H2" s="19">
        <f>MEDIA_DL</f>
        <v>1</v>
      </c>
      <c r="I2" s="20">
        <v>0</v>
      </c>
      <c r="J2" s="21">
        <v>0</v>
      </c>
      <c r="K2" s="19">
        <f>D2*FN_CALL+E2/100000*FS_READ+F2/100000*FS_WRITE+G2*GCS_STORE+H2*EGRESS+I2+J2/USD_INR</f>
        <v>0.427467248</v>
      </c>
      <c r="L2" s="22">
        <f>K2*USD_INR</f>
        <v>37.617117824000005</v>
      </c>
      <c r="M2" s="23">
        <v>299</v>
      </c>
      <c r="N2" s="24">
        <f>IF(M2&gt;0,1-L2/M2,0)</f>
        <v>0.8741902413913043</v>
      </c>
      <c r="O2" s="25">
        <f>IF(L2&gt;0,M2/L2,0)</f>
        <v>7.9485090112149885</v>
      </c>
      <c r="P2" s="22">
        <f>L2/(1-TARGET_MARGIN)</f>
        <v>125.39039274666666</v>
      </c>
      <c r="Q2" s="18">
        <f>M2*(1-DEALER_DISC)</f>
        <v>239.20000000000002</v>
      </c>
      <c r="R2" s="24">
        <f>IF(Q2&gt;0,1-L2/Q2,0)</f>
        <v>0.8427378017391305</v>
      </c>
    </row>
    <row r="3" spans="1:18" x14ac:dyDescent="0.25">
      <c r="A3" s="16" t="s">
        <v>176</v>
      </c>
      <c r="B3" s="17" t="s">
        <v>177</v>
      </c>
      <c r="C3" s="17" t="s">
        <v>175</v>
      </c>
      <c r="D3" s="18">
        <f>SECS/DATA_SEC</f>
        <v>8640</v>
      </c>
      <c r="E3" s="18">
        <f>SECS/DATA_SEC*DATA_READS</f>
        <v>25920</v>
      </c>
      <c r="F3" s="21">
        <v>0</v>
      </c>
      <c r="G3" s="20">
        <v>0</v>
      </c>
      <c r="H3" s="20">
        <v>0</v>
      </c>
      <c r="I3" s="19">
        <f>(MINS/W_TTL*WEATHER/1000+MINS/AQ_TTL*AQI/1000)/SCREENS_PER_PLACE</f>
        <v>0.2976</v>
      </c>
      <c r="J3" s="21">
        <v>0</v>
      </c>
      <c r="K3" s="19">
        <f>D3*FN_CALL+E3/100000*FS_READ+F3/100000*FS_WRITE+G3*FS_STORE+H3*EGRESS+I3+J3/USD_INR</f>
        <v>0.31639156799999996</v>
      </c>
      <c r="L3" s="22">
        <f>K3*USD_INR</f>
        <v>27.842457983999996</v>
      </c>
      <c r="M3" s="23">
        <v>49</v>
      </c>
      <c r="N3" s="24">
        <f>IF(M3&gt;0,1-L3/M3,0)</f>
        <v>0.43178657175510216</v>
      </c>
      <c r="O3" s="25">
        <f>IF(L3&gt;0,M3/L3,0)</f>
        <v>1.7599020901156945</v>
      </c>
      <c r="P3" s="22">
        <f>L3/(1-TARGET_MARGIN)</f>
        <v>92.80819327999997</v>
      </c>
      <c r="Q3" s="18">
        <f>M3*(1-DEALER_DISC)</f>
        <v>39.2</v>
      </c>
      <c r="R3" s="24">
        <f>IF(Q3&gt;0,1-L3/Q3,0)</f>
        <v>0.2897332146938777</v>
      </c>
    </row>
    <row r="4" spans="1:18" x14ac:dyDescent="0.25">
      <c r="A4" s="16" t="s">
        <v>178</v>
      </c>
      <c r="B4" s="17" t="s">
        <v>179</v>
      </c>
      <c r="C4" s="17" t="s">
        <v>175</v>
      </c>
      <c r="D4" s="18">
        <f>SECS/DATA_SEC</f>
        <v>8640</v>
      </c>
      <c r="E4" s="18">
        <f>SECS/DATA_SEC*DATA_READS</f>
        <v>25920</v>
      </c>
      <c r="F4" s="21">
        <v>0</v>
      </c>
      <c r="G4" s="20">
        <v>0</v>
      </c>
      <c r="H4" s="20">
        <v>0</v>
      </c>
      <c r="I4" s="20">
        <v>0</v>
      </c>
      <c r="J4" s="21">
        <v>0</v>
      </c>
      <c r="K4" s="19">
        <f>D4*FN_CALL+E4/100000*FS_READ+F4/100000*FS_WRITE+G4*FS_STORE+H4*EGRESS+I4+J4/USD_INR</f>
        <v>0.018791568</v>
      </c>
      <c r="L4" s="22">
        <f>K4*USD_INR</f>
        <v>1.653657984</v>
      </c>
      <c r="M4" s="23">
        <v>29</v>
      </c>
      <c r="N4" s="24">
        <f>IF(M4&gt;0,1-L4/M4,0)</f>
        <v>0.9429773108965517</v>
      </c>
      <c r="O4" s="25">
        <f>IF(L4&gt;0,M4/L4,0)</f>
        <v>17.53687901645326</v>
      </c>
      <c r="P4" s="22">
        <f>L4/(1-TARGET_MARGIN)</f>
        <v>5.512193279999999</v>
      </c>
      <c r="Q4" s="18">
        <f>M4*(1-DEALER_DISC)</f>
        <v>23.200000000000003</v>
      </c>
      <c r="R4" s="24">
        <f>IF(Q4&gt;0,1-L4/Q4,0)</f>
        <v>0.9287216386206897</v>
      </c>
    </row>
    <row r="5" spans="1:18" x14ac:dyDescent="0.25">
      <c r="A5" s="16" t="s">
        <v>180</v>
      </c>
      <c r="B5" s="17" t="s">
        <v>181</v>
      </c>
      <c r="C5" s="17" t="s">
        <v>175</v>
      </c>
      <c r="D5" s="21">
        <v>0</v>
      </c>
      <c r="E5" s="21">
        <v>0</v>
      </c>
      <c r="F5" s="21">
        <v>0</v>
      </c>
      <c r="G5" s="20">
        <v>0</v>
      </c>
      <c r="H5" s="20">
        <v>0</v>
      </c>
      <c r="I5" s="20">
        <v>0</v>
      </c>
      <c r="J5" s="21">
        <v>0</v>
      </c>
      <c r="K5" s="19">
        <f>D5*FN_CALL+E5/100000*FS_READ+F5/100000*FS_WRITE+G5*FS_STORE+H5*EGRESS+I5+J5/USD_INR</f>
        <v>0</v>
      </c>
      <c r="L5" s="22">
        <f>K5*USD_INR</f>
        <v>0</v>
      </c>
      <c r="M5" s="23">
        <v>199</v>
      </c>
      <c r="N5" s="24">
        <f>IF(M5&gt;0,1-L5/M5,0)</f>
        <v>1</v>
      </c>
      <c r="O5" s="25">
        <f>IF(L5&gt;0,M5/L5,0)</f>
        <v>0</v>
      </c>
      <c r="P5" s="22">
        <f>L5/(1-TARGET_MARGIN)</f>
        <v>0</v>
      </c>
      <c r="Q5" s="18">
        <f>M5*(1-DEALER_DISC)</f>
        <v>159.20000000000002</v>
      </c>
      <c r="R5" s="24">
        <f>IF(Q5&gt;0,1-L5/Q5,0)</f>
        <v>1</v>
      </c>
    </row>
    <row r="6" spans="1:18" x14ac:dyDescent="0.25">
      <c r="A6" s="16" t="s">
        <v>182</v>
      </c>
      <c r="B6" s="17" t="s">
        <v>183</v>
      </c>
      <c r="C6" s="17" t="s">
        <v>175</v>
      </c>
      <c r="D6" s="18">
        <f>MINS/10*SYNC_CALLS_10M</f>
        <v>21600</v>
      </c>
      <c r="E6" s="21">
        <v>0</v>
      </c>
      <c r="F6" s="21">
        <v>0</v>
      </c>
      <c r="G6" s="20">
        <v>0</v>
      </c>
      <c r="H6" s="20">
        <v>0</v>
      </c>
      <c r="I6" s="20">
        <v>0</v>
      </c>
      <c r="J6" s="21">
        <v>0</v>
      </c>
      <c r="K6" s="19">
        <f>D6*FN_CALL+E6/100000*FS_READ+F6/100000*FS_WRITE+G6*FS_STORE+H6*EGRESS+I6+J6/USD_INR</f>
        <v>0.02365092</v>
      </c>
      <c r="L6" s="22">
        <f>K6*USD_INR</f>
        <v>2.08128096</v>
      </c>
      <c r="M6" s="23">
        <v>99</v>
      </c>
      <c r="N6" s="24">
        <f>IF(M6&gt;0,1-L6/M6,0)</f>
        <v>0.97897696</v>
      </c>
      <c r="O6" s="25">
        <f>IF(L6&gt;0,M6/L6,0)</f>
        <v>47.56685997838562</v>
      </c>
      <c r="P6" s="22">
        <f>L6/(1-TARGET_MARGIN)</f>
        <v>6.937603199999999</v>
      </c>
      <c r="Q6" s="18">
        <f>M6*(1-DEALER_DISC)</f>
        <v>79.2</v>
      </c>
      <c r="R6" s="24">
        <f>IF(Q6&gt;0,1-L6/Q6,0)</f>
        <v>0.9737212</v>
      </c>
    </row>
    <row r="7" spans="1:18" x14ac:dyDescent="0.25">
      <c r="A7" s="16" t="s">
        <v>184</v>
      </c>
      <c r="B7" s="17" t="s">
        <v>185</v>
      </c>
      <c r="C7" s="17" t="s">
        <v>175</v>
      </c>
      <c r="D7" s="18">
        <f>HOURS*POP_UPLOADS</f>
        <v>720</v>
      </c>
      <c r="E7" s="18">
        <f>HOURS*POP_UPLOADS*POP_RW</f>
        <v>1440</v>
      </c>
      <c r="F7" s="18">
        <f>HOURS*POP_UPLOADS*POP_RW</f>
        <v>1440</v>
      </c>
      <c r="G7" s="19">
        <f>POP_KB*30/1000000</f>
        <v>0.00015</v>
      </c>
      <c r="H7" s="20">
        <v>0</v>
      </c>
      <c r="I7" s="20">
        <v>0</v>
      </c>
      <c r="J7" s="21">
        <v>0</v>
      </c>
      <c r="K7" s="19">
        <f>D7*FN_CALL+E7/100000*FS_READ+F7/100000*FS_WRITE+G7*FS_STORE+H7*EGRESS+I7+J7/USD_INR</f>
        <v>0.002891664</v>
      </c>
      <c r="L7" s="22">
        <f>K7*USD_INR</f>
        <v>0.254466432</v>
      </c>
      <c r="M7" s="23">
        <v>49</v>
      </c>
      <c r="N7" s="24">
        <f>IF(M7&gt;0,1-L7/M7,0)</f>
        <v>0.9948068075102041</v>
      </c>
      <c r="O7" s="25">
        <f>IF(L7&gt;0,M7/L7,0)</f>
        <v>192.55977935824555</v>
      </c>
      <c r="P7" s="22">
        <f>L7/(1-TARGET_MARGIN)</f>
        <v>0.84822144</v>
      </c>
      <c r="Q7" s="18">
        <f>M7*(1-DEALER_DISC)</f>
        <v>39.2</v>
      </c>
      <c r="R7" s="24">
        <f>IF(Q7&gt;0,1-L7/Q7,0)</f>
        <v>0.9935085093877551</v>
      </c>
    </row>
    <row r="8" spans="1:18" x14ac:dyDescent="0.25">
      <c r="A8" s="16" t="s">
        <v>186</v>
      </c>
      <c r="B8" s="17" t="s">
        <v>187</v>
      </c>
      <c r="C8" s="17" t="s">
        <v>175</v>
      </c>
      <c r="D8" s="21">
        <v>0</v>
      </c>
      <c r="E8" s="21">
        <v>0</v>
      </c>
      <c r="F8" s="18">
        <f>HOURS*DIAG_WRITES_H</f>
        <v>360</v>
      </c>
      <c r="G8" s="20">
        <v>0</v>
      </c>
      <c r="H8" s="20">
        <v>0</v>
      </c>
      <c r="I8" s="20">
        <v>0</v>
      </c>
      <c r="J8" s="21">
        <v>0</v>
      </c>
      <c r="K8" s="19">
        <f>D8*FN_CALL+E8/100000*FS_READ+F8/100000*FS_WRITE+G8*FS_STORE+H8*EGRESS+I8+J8/USD_INR</f>
        <v>0.00038879999999999996</v>
      </c>
      <c r="L8" s="22">
        <f>K8*USD_INR</f>
        <v>0.0342144</v>
      </c>
      <c r="M8" s="23">
        <v>49</v>
      </c>
      <c r="N8" s="24">
        <f>IF(M8&gt;0,1-L8/M8,0)</f>
        <v>0.9993017469387755</v>
      </c>
      <c r="O8" s="25">
        <f>IF(L8&gt;0,M8/L8,0)</f>
        <v>1432.1455293677516</v>
      </c>
      <c r="P8" s="22">
        <f>L8/(1-TARGET_MARGIN)</f>
        <v>0.11404799999999998</v>
      </c>
      <c r="Q8" s="18">
        <f>M8*(1-DEALER_DISC)</f>
        <v>39.2</v>
      </c>
      <c r="R8" s="24">
        <f>IF(Q8&gt;0,1-L8/Q8,0)</f>
        <v>0.9991271836734694</v>
      </c>
    </row>
    <row r="9" spans="1:18" x14ac:dyDescent="0.25">
      <c r="A9" s="16" t="s">
        <v>188</v>
      </c>
      <c r="B9" s="17" t="s">
        <v>189</v>
      </c>
      <c r="C9" s="17" t="s">
        <v>190</v>
      </c>
      <c r="D9" s="18">
        <f>SECS/SENS_SEC+SECS/LIVE_SEC*SCREENS_PER_SENSOR</f>
        <v>216000</v>
      </c>
      <c r="E9" s="18">
        <f>SECS/SENS_SEC*(4+SENS_CH)+SECS/LIVE_SEC*LIVE_READS*SCREENS_PER_SENSOR</f>
        <v>993600</v>
      </c>
      <c r="F9" s="18">
        <f>SECS/SENS_SEC*(1+2*SENS_CH)</f>
        <v>302400</v>
      </c>
      <c r="G9" s="19">
        <f>SECS/SENS_SEC*SENS_CH*20/1000000000</f>
        <v>0.002592</v>
      </c>
      <c r="H9" s="20">
        <v>0</v>
      </c>
      <c r="I9" s="20">
        <v>0</v>
      </c>
      <c r="J9" s="21">
        <v>0</v>
      </c>
      <c r="K9" s="19">
        <f>D9*FN_CALL+E9/100000*FS_READ+F9/100000*FS_WRITE+G9*FS_STORE+H9*EGRESS+I9+J9/USD_INR</f>
        <v>0.921310416</v>
      </c>
      <c r="L9" s="22">
        <f>K9*USD_INR</f>
        <v>81.075316608</v>
      </c>
      <c r="M9" s="23">
        <v>149</v>
      </c>
      <c r="N9" s="24">
        <f>IF(M9&gt;0,1-L9/M9,0)</f>
        <v>0.45587035833557055</v>
      </c>
      <c r="O9" s="25">
        <f>IF(L9&gt;0,M9/L9,0)</f>
        <v>1.83779732517625</v>
      </c>
      <c r="P9" s="22">
        <f>L9/(1-TARGET_MARGIN)</f>
        <v>270.25105535999995</v>
      </c>
      <c r="Q9" s="18">
        <f>M9*(1-DEALER_DISC)</f>
        <v>119.2</v>
      </c>
      <c r="R9" s="24">
        <f>IF(Q9&gt;0,1-L9/Q9,0)</f>
        <v>0.3198379479194632</v>
      </c>
    </row>
    <row r="10" spans="1:18" x14ac:dyDescent="0.25">
      <c r="A10" s="16" t="s">
        <v>191</v>
      </c>
      <c r="B10" s="17" t="s">
        <v>192</v>
      </c>
      <c r="C10" s="17" t="s">
        <v>193</v>
      </c>
      <c r="D10" s="18">
        <f>MINS/MQTT_CFG_MIN</f>
        <v>2880</v>
      </c>
      <c r="E10" s="18">
        <f>MINS/MQTT_CFG_MIN*5</f>
        <v>14400</v>
      </c>
      <c r="F10" s="21">
        <v>0</v>
      </c>
      <c r="G10" s="20">
        <v>0</v>
      </c>
      <c r="H10" s="20">
        <v>0</v>
      </c>
      <c r="I10" s="20">
        <v>0</v>
      </c>
      <c r="J10" s="21">
        <v>0</v>
      </c>
      <c r="K10" s="19">
        <f>D10*FN_CALL+E10/100000*FS_READ+F10/100000*FS_WRITE+G10*FS_STORE+H10*EGRESS+I10+J10/USD_INR</f>
        <v>0.008337456</v>
      </c>
      <c r="L10" s="22">
        <f>K10*USD_INR</f>
        <v>0.7336961280000001</v>
      </c>
      <c r="M10" s="23">
        <v>499</v>
      </c>
      <c r="N10" s="24">
        <f>IF(M10&gt;0,1-L10/M10,0)</f>
        <v>0.9985296670781563</v>
      </c>
      <c r="O10" s="25">
        <f>IF(L10&gt;0,M10/L10,0)</f>
        <v>680.1180774392747</v>
      </c>
      <c r="P10" s="22">
        <f>L10/(1-TARGET_MARGIN)</f>
        <v>2.44565376</v>
      </c>
      <c r="Q10" s="18">
        <f>M10*(1-DEALER_DISC)</f>
        <v>399.20000000000005</v>
      </c>
      <c r="R10" s="24">
        <f>IF(Q10&gt;0,1-L10/Q10,0)</f>
        <v>0.9981620838476953</v>
      </c>
    </row>
    <row r="11" spans="1:18" x14ac:dyDescent="0.25">
      <c r="A11" s="16" t="s">
        <v>194</v>
      </c>
      <c r="B11" s="17" t="s">
        <v>195</v>
      </c>
      <c r="C11" s="17" t="s">
        <v>193</v>
      </c>
      <c r="D11" s="18">
        <f>APPROVALS_PER_MONTH*3</f>
        <v>150</v>
      </c>
      <c r="E11" s="18">
        <f>APPROVALS_PER_MONTH*5</f>
        <v>250</v>
      </c>
      <c r="F11" s="18">
        <f>APPROVALS_PER_MONTH*3</f>
        <v>150</v>
      </c>
      <c r="G11" s="20">
        <v>0</v>
      </c>
      <c r="H11" s="20">
        <v>0</v>
      </c>
      <c r="I11" s="20">
        <v>0</v>
      </c>
      <c r="J11" s="21">
        <v>0</v>
      </c>
      <c r="K11" s="19">
        <f>D11*FN_CALL+E11/100000*FS_READ+F11/100000*FS_WRITE+G11*FS_STORE+H11*EGRESS+I11+J11/USD_INR</f>
        <v>0.0004162425</v>
      </c>
      <c r="L11" s="22">
        <f>K11*USD_INR</f>
        <v>0.036629339999999996</v>
      </c>
      <c r="M11" s="23">
        <v>499</v>
      </c>
      <c r="N11" s="24">
        <f>IF(M11&gt;0,1-L11/M11,0)</f>
        <v>0.999926594509018</v>
      </c>
      <c r="O11" s="25">
        <f>IF(L11&gt;0,M11/L11,0)</f>
        <v>13622.959081435813</v>
      </c>
      <c r="P11" s="22">
        <f>L11/(1-TARGET_MARGIN)</f>
        <v>0.12209779999999996</v>
      </c>
      <c r="Q11" s="18">
        <f>M11*(1-DEALER_DISC)</f>
        <v>399.20000000000005</v>
      </c>
      <c r="R11" s="24">
        <f>IF(Q11&gt;0,1-L11/Q11,0)</f>
        <v>0.9999082431362726</v>
      </c>
    </row>
    <row r="12" spans="1:18" x14ac:dyDescent="0.25">
      <c r="A12" s="16" t="s">
        <v>196</v>
      </c>
      <c r="B12" s="17" t="s">
        <v>197</v>
      </c>
      <c r="C12" s="17" t="s">
        <v>193</v>
      </c>
      <c r="D12" s="18">
        <f>API_PER_DAY*30</f>
        <v>30000</v>
      </c>
      <c r="E12" s="18">
        <f>API_PER_DAY*30*3</f>
        <v>90000</v>
      </c>
      <c r="F12" s="18">
        <f>API_PER_DAY*30</f>
        <v>30000</v>
      </c>
      <c r="G12" s="20">
        <v>0</v>
      </c>
      <c r="H12" s="20">
        <v>0</v>
      </c>
      <c r="I12" s="20">
        <v>0</v>
      </c>
      <c r="J12" s="21">
        <v>0</v>
      </c>
      <c r="K12" s="19">
        <f>D12*FN_CALL+E12/100000*FS_READ+F12/100000*FS_WRITE+G12*FS_STORE+H12*EGRESS+I12+J12/USD_INR</f>
        <v>0.0976485</v>
      </c>
      <c r="L12" s="22">
        <f>K12*USD_INR</f>
        <v>8.593068</v>
      </c>
      <c r="M12" s="23">
        <v>1999</v>
      </c>
      <c r="N12" s="24">
        <f>IF(M12&gt;0,1-L12/M12,0)</f>
        <v>0.9957013166583292</v>
      </c>
      <c r="O12" s="25">
        <f>IF(L12&gt;0,M12/L12,0)</f>
        <v>232.62937055775654</v>
      </c>
      <c r="P12" s="22">
        <f>L12/(1-TARGET_MARGIN)</f>
        <v>28.643559999999997</v>
      </c>
      <c r="Q12" s="18">
        <f>M12*(1-DEALER_DISC)</f>
        <v>1599.2</v>
      </c>
      <c r="R12" s="24">
        <f>IF(Q12&gt;0,1-L12/Q12,0)</f>
        <v>0.9946266458229115</v>
      </c>
    </row>
    <row r="13" spans="1:18" x14ac:dyDescent="0.25">
      <c r="A13" s="16" t="s">
        <v>198</v>
      </c>
      <c r="B13" s="17" t="s">
        <v>199</v>
      </c>
      <c r="C13" s="17" t="s">
        <v>193</v>
      </c>
      <c r="D13" s="21">
        <v>0</v>
      </c>
      <c r="E13" s="21">
        <v>0</v>
      </c>
      <c r="F13" s="21">
        <v>0</v>
      </c>
      <c r="G13" s="20">
        <v>0</v>
      </c>
      <c r="H13" s="20">
        <v>0</v>
      </c>
      <c r="I13" s="20">
        <v>0</v>
      </c>
      <c r="J13" s="18">
        <f>WL_HOURS*SUPPORT_RATE</f>
        <v>250</v>
      </c>
      <c r="K13" s="19">
        <f>D13*FN_CALL+E13/100000*FS_READ+F13/100000*FS_WRITE+G13*FS_STORE+H13*EGRESS+I13+J13/USD_INR</f>
        <v>2.840909090909091</v>
      </c>
      <c r="L13" s="22">
        <f>K13*USD_INR</f>
        <v>250</v>
      </c>
      <c r="M13" s="23">
        <v>4999</v>
      </c>
      <c r="N13" s="24">
        <f>IF(M13&gt;0,1-L13/M13,0)</f>
        <v>0.9499899979995999</v>
      </c>
      <c r="O13" s="25">
        <f>IF(L13&gt;0,M13/L13,0)</f>
        <v>19.996</v>
      </c>
      <c r="P13" s="22">
        <f>L13/(1-TARGET_MARGIN)</f>
        <v>833.3333333333333</v>
      </c>
      <c r="Q13" s="18">
        <f>M13*(1-DEALER_DISC)</f>
        <v>3999.2000000000003</v>
      </c>
      <c r="R13" s="24">
        <f>IF(Q13&gt;0,1-L13/Q13,0)</f>
        <v>0.9374874974994999</v>
      </c>
    </row>
    <row r="14" spans="1:18" x14ac:dyDescent="0.25">
      <c r="A14" s="16" t="s">
        <v>200</v>
      </c>
      <c r="B14" s="17" t="s">
        <v>201</v>
      </c>
      <c r="C14" s="17" t="s">
        <v>202</v>
      </c>
      <c r="D14" s="21">
        <v>0</v>
      </c>
      <c r="E14" s="21">
        <v>0</v>
      </c>
      <c r="F14" s="21">
        <v>0</v>
      </c>
      <c r="G14" s="20">
        <v>10</v>
      </c>
      <c r="H14" s="20">
        <v>0</v>
      </c>
      <c r="I14" s="20">
        <v>0</v>
      </c>
      <c r="J14" s="21">
        <v>0</v>
      </c>
      <c r="K14" s="19">
        <f>D14*FN_CALL+E14/100000*FS_READ+F14/100000*FS_WRITE+G14*GCS_STORE+H14*EGRESS+I14+J14/USD_INR</f>
        <v>0.22999999999999998</v>
      </c>
      <c r="L14" s="22">
        <f>K14*USD_INR</f>
        <v>20.24</v>
      </c>
      <c r="M14" s="23">
        <v>99</v>
      </c>
      <c r="N14" s="24">
        <f>IF(M14&gt;0,1-L14/M14,0)</f>
        <v>0.7955555555555556</v>
      </c>
      <c r="O14" s="25">
        <f>IF(L14&gt;0,M14/L14,0)</f>
        <v>4.891304347826087</v>
      </c>
      <c r="P14" s="22">
        <f>L14/(1-TARGET_MARGIN)</f>
        <v>67.46666666666665</v>
      </c>
      <c r="Q14" s="18">
        <f>M14*(1-DEALER_DISC)</f>
        <v>79.2</v>
      </c>
      <c r="R14" s="24">
        <f>IF(Q14&gt;0,1-L14/Q14,0)</f>
        <v>0.7444444444444445</v>
      </c>
    </row>
    <row r="16" spans="1:1" x14ac:dyDescent="0.25">
      <c r="A16" s="2" t="s">
        <v>203</v>
      </c>
    </row>
    <row r="17" spans="1:1" x14ac:dyDescent="0.25">
      <c r="A17" s="2" t="s">
        <v>204</v>
      </c>
    </row>
    <row r="18" spans="1:1" x14ac:dyDescent="0.25">
      <c r="A18" s="2" t="s">
        <v>205</v>
      </c>
    </row>
    <row r="19" spans="1:1" x14ac:dyDescent="0.25">
      <c r="A19" s="2" t="s">
        <v>206</v>
      </c>
    </row>
    <row r="20" spans="1:1" x14ac:dyDescent="0.25">
      <c r="A20" s="2" t="s">
        <v>207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FormatPr defaultRowHeight="15" outlineLevelRow="0" outlineLevelCol="0" x14ac:dyDescent="55"/>
  <cols>
    <col min="1" max="1" width="32" customWidth="1"/>
    <col min="2" max="2" width="12" customWidth="1"/>
    <col min="3" max="6" width="16" customWidth="1"/>
  </cols>
  <sheetData>
    <row r="1" spans="1:1" x14ac:dyDescent="0.25">
      <c r="A1" s="1" t="s">
        <v>208</v>
      </c>
    </row>
    <row r="3" spans="1:6" x14ac:dyDescent="0.25">
      <c r="A3" s="4" t="s">
        <v>155</v>
      </c>
      <c r="B3" s="4" t="s">
        <v>209</v>
      </c>
      <c r="C3" s="4" t="s">
        <v>210</v>
      </c>
      <c r="D3" s="4" t="s">
        <v>211</v>
      </c>
      <c r="E3" s="4" t="s">
        <v>166</v>
      </c>
      <c r="F3" s="4" t="s">
        <v>212</v>
      </c>
    </row>
    <row r="4" spans="1:6" x14ac:dyDescent="0.25">
      <c r="A4" s="2" t="s">
        <v>173</v>
      </c>
      <c r="B4" s="26">
        <v>10</v>
      </c>
      <c r="C4" s="27">
        <f>INDEX(APP_PRICES,MATCH(A4,APP_NAMES,0))</f>
        <v>299</v>
      </c>
      <c r="D4" s="28">
        <f>B4*C4</f>
        <v>2990</v>
      </c>
      <c r="E4" s="27">
        <f>INDEX(APP_COSTS,MATCH(A4,APP_NAMES,0))</f>
        <v>37.617117824000005</v>
      </c>
      <c r="F4" s="28">
        <f>B4*E4</f>
        <v>376.17117824</v>
      </c>
    </row>
    <row r="5" spans="1:6" x14ac:dyDescent="0.25">
      <c r="A5" s="2" t="s">
        <v>176</v>
      </c>
      <c r="B5" s="26">
        <v>3</v>
      </c>
      <c r="C5" s="27">
        <f>INDEX(APP_PRICES,MATCH(A5,APP_NAMES,0))</f>
        <v>49</v>
      </c>
      <c r="D5" s="28">
        <f>B5*C5</f>
        <v>147</v>
      </c>
      <c r="E5" s="27">
        <f>INDEX(APP_COSTS,MATCH(A5,APP_NAMES,0))</f>
        <v>27.842457983999996</v>
      </c>
      <c r="F5" s="28">
        <f>B5*E5</f>
        <v>83.52737395199999</v>
      </c>
    </row>
    <row r="6" spans="1:6" x14ac:dyDescent="0.25">
      <c r="A6" s="2" t="s">
        <v>178</v>
      </c>
      <c r="B6" s="26">
        <v>2</v>
      </c>
      <c r="C6" s="27">
        <f>INDEX(APP_PRICES,MATCH(A6,APP_NAMES,0))</f>
        <v>29</v>
      </c>
      <c r="D6" s="28">
        <f>B6*C6</f>
        <v>58</v>
      </c>
      <c r="E6" s="27">
        <f>INDEX(APP_COSTS,MATCH(A6,APP_NAMES,0))</f>
        <v>1.653657984</v>
      </c>
      <c r="F6" s="28">
        <f>B6*E6</f>
        <v>3.307315968</v>
      </c>
    </row>
    <row r="7" spans="1:6" x14ac:dyDescent="0.25">
      <c r="A7" s="2" t="s">
        <v>180</v>
      </c>
      <c r="B7" s="26">
        <v>1</v>
      </c>
      <c r="C7" s="27">
        <f>INDEX(APP_PRICES,MATCH(A7,APP_NAMES,0))</f>
        <v>199</v>
      </c>
      <c r="D7" s="28">
        <f>B7*C7</f>
        <v>199</v>
      </c>
      <c r="E7" s="27">
        <f>INDEX(APP_COSTS,MATCH(A7,APP_NAMES,0))</f>
        <v>0</v>
      </c>
      <c r="F7" s="28">
        <f>B7*E7</f>
        <v>0</v>
      </c>
    </row>
    <row r="8" spans="1:6" x14ac:dyDescent="0.25">
      <c r="A8" s="2" t="s">
        <v>184</v>
      </c>
      <c r="B8" s="26">
        <v>10</v>
      </c>
      <c r="C8" s="27">
        <f>INDEX(APP_PRICES,MATCH(A8,APP_NAMES,0))</f>
        <v>49</v>
      </c>
      <c r="D8" s="28">
        <f>B8*C8</f>
        <v>490</v>
      </c>
      <c r="E8" s="27">
        <f>INDEX(APP_COSTS,MATCH(A8,APP_NAMES,0))</f>
        <v>0.254466432</v>
      </c>
      <c r="F8" s="28">
        <f>B8*E8</f>
        <v>2.5446643200000003</v>
      </c>
    </row>
    <row r="9" spans="1:6" x14ac:dyDescent="0.25">
      <c r="A9" s="2" t="s">
        <v>186</v>
      </c>
      <c r="B9" s="26">
        <v>10</v>
      </c>
      <c r="C9" s="27">
        <f>INDEX(APP_PRICES,MATCH(A9,APP_NAMES,0))</f>
        <v>49</v>
      </c>
      <c r="D9" s="28">
        <f>B9*C9</f>
        <v>490</v>
      </c>
      <c r="E9" s="27">
        <f>INDEX(APP_COSTS,MATCH(A9,APP_NAMES,0))</f>
        <v>0.0342144</v>
      </c>
      <c r="F9" s="28">
        <f>B9*E9</f>
        <v>0.342144</v>
      </c>
    </row>
    <row r="10" spans="1:6" x14ac:dyDescent="0.25">
      <c r="A10" s="2" t="s">
        <v>188</v>
      </c>
      <c r="B10" s="26">
        <v>2</v>
      </c>
      <c r="C10" s="27">
        <f>INDEX(APP_PRICES,MATCH(A10,APP_NAMES,0))</f>
        <v>149</v>
      </c>
      <c r="D10" s="28">
        <f>B10*C10</f>
        <v>298</v>
      </c>
      <c r="E10" s="27">
        <f>INDEX(APP_COSTS,MATCH(A10,APP_NAMES,0))</f>
        <v>81.075316608</v>
      </c>
      <c r="F10" s="28">
        <f>B10*E10</f>
        <v>162.150633216</v>
      </c>
    </row>
    <row r="11" spans="1:6" x14ac:dyDescent="0.25">
      <c r="A11" s="2" t="s">
        <v>194</v>
      </c>
      <c r="B11" s="26">
        <v>1</v>
      </c>
      <c r="C11" s="27">
        <f>INDEX(APP_PRICES,MATCH(A11,APP_NAMES,0))</f>
        <v>499</v>
      </c>
      <c r="D11" s="28">
        <f>B11*C11</f>
        <v>499</v>
      </c>
      <c r="E11" s="27">
        <f>INDEX(APP_COSTS,MATCH(A11,APP_NAMES,0))</f>
        <v>0.036629339999999996</v>
      </c>
      <c r="F11" s="28">
        <f>B11*E11</f>
        <v>0.036629339999999996</v>
      </c>
    </row>
    <row r="12" spans="1:6" x14ac:dyDescent="0.25">
      <c r="A12" s="3" t="s">
        <v>213</v>
      </c>
      <c r="D12" s="29">
        <f>SUM(D4:D11)</f>
        <v>5171</v>
      </c>
      <c r="F12" s="29">
        <f>SUM(F4:F11)</f>
        <v>628.079939036</v>
      </c>
    </row>
    <row r="13" spans="1:3" x14ac:dyDescent="0.25">
      <c r="A13" s="2" t="s">
        <v>214</v>
      </c>
      <c r="B13" s="30">
        <v>0.18</v>
      </c>
      <c r="C13" s="2" t="s">
        <v>215</v>
      </c>
    </row>
    <row r="14" spans="1:4" x14ac:dyDescent="0.25">
      <c r="A14" s="3" t="s">
        <v>216</v>
      </c>
      <c r="D14" s="29">
        <f>D12*(1+B13)</f>
        <v>6101.78</v>
      </c>
    </row>
    <row r="15" spans="1:4" x14ac:dyDescent="0.25">
      <c r="A15" s="3" t="s">
        <v>168</v>
      </c>
      <c r="D15" s="31">
        <f>IF(D12&gt;0,1-F12/D12,0)</f>
        <v>0.8785380121763682</v>
      </c>
    </row>
    <row r="17" spans="1:1" x14ac:dyDescent="0.25">
      <c r="A17" s="3" t="s">
        <v>217</v>
      </c>
    </row>
    <row r="18" spans="1:3" x14ac:dyDescent="0.25">
      <c r="A18" s="2" t="s">
        <v>218</v>
      </c>
      <c r="B18" s="32">
        <v>599</v>
      </c>
      <c r="C18" s="2" t="s">
        <v>219</v>
      </c>
    </row>
    <row r="19" spans="1:4" x14ac:dyDescent="0.25">
      <c r="A19" s="2" t="s">
        <v>220</v>
      </c>
      <c r="D19" s="28">
        <f>B18*B4</f>
        <v>5990</v>
      </c>
    </row>
    <row r="20" spans="1:4" x14ac:dyDescent="0.25">
      <c r="A20" s="3" t="s">
        <v>221</v>
      </c>
      <c r="D20" s="33">
        <f>D12-D19</f>
        <v>-819</v>
      </c>
    </row>
    <row r="22" spans="1:1" x14ac:dyDescent="0.25">
      <c r="A22" s="2" t="s">
        <v>222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 me</vt:lpstr>
      <vt:lpstr>Rates</vt:lpstr>
      <vt:lpstr>Usage</vt:lpstr>
      <vt:lpstr>App prices</vt:lpstr>
      <vt:lpstr>Example bill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WallX Play</dc:creator>
  <dc:title/>
  <dc:subject/>
  <dc:description/>
  <cp:keywords/>
  <cp:category/>
  <cp:lastModifiedBy>Unknown</cp:lastModifiedBy>
  <dcterms:created xsi:type="dcterms:W3CDTF">2026-10-15T17:45:04Z</dcterms:created>
  <dcterms:modified xsi:type="dcterms:W3CDTF">2026-10-15T17:45:04Z</dcterms:modified>
</cp:coreProperties>
</file>